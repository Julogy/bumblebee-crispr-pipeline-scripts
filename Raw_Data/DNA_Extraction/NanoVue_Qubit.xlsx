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umblebee-crispr-pipeline-scripts\DNA_Extraction\"/>
    </mc:Choice>
  </mc:AlternateContent>
  <xr:revisionPtr revIDLastSave="0" documentId="13_ncr:1_{F6A5D61B-49E1-4005-BB69-D0FC777270B7}" xr6:coauthVersionLast="47" xr6:coauthVersionMax="47" xr10:uidLastSave="{00000000-0000-0000-0000-000000000000}"/>
  <bookViews>
    <workbookView xWindow="8640" yWindow="2760" windowWidth="15375" windowHeight="11370" activeTab="1" xr2:uid="{00000000-000D-0000-FFFF-FFFF00000000}"/>
  </bookViews>
  <sheets>
    <sheet name="Vanessa" sheetId="1" r:id="rId1"/>
    <sheet name="Monarch" sheetId="2" r:id="rId2"/>
    <sheet name="Monarch 800  microli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" i="1" l="1"/>
  <c r="P3" i="1"/>
  <c r="P4" i="3"/>
  <c r="P9" i="3"/>
  <c r="P3" i="3"/>
  <c r="B9" i="3"/>
  <c r="O9" i="3"/>
  <c r="P4" i="2"/>
  <c r="P9" i="2"/>
  <c r="P3" i="2"/>
  <c r="O3" i="2"/>
  <c r="P4" i="1"/>
  <c r="O4" i="3"/>
  <c r="O3" i="3"/>
  <c r="O9" i="2"/>
  <c r="O4" i="2"/>
  <c r="O4" i="1"/>
  <c r="O9" i="1"/>
  <c r="O3" i="1"/>
  <c r="C9" i="3"/>
  <c r="B9" i="2"/>
  <c r="M9" i="3"/>
  <c r="L9" i="3"/>
  <c r="K9" i="3"/>
  <c r="J9" i="3"/>
  <c r="I9" i="3"/>
  <c r="H9" i="3"/>
  <c r="G9" i="3"/>
  <c r="F9" i="3"/>
  <c r="E9" i="3"/>
  <c r="D9" i="3"/>
  <c r="M9" i="2"/>
  <c r="L9" i="2"/>
  <c r="K9" i="2"/>
  <c r="J9" i="2"/>
  <c r="I9" i="2"/>
  <c r="H9" i="2"/>
  <c r="G9" i="2"/>
  <c r="F9" i="2"/>
  <c r="E9" i="2"/>
  <c r="D9" i="2"/>
  <c r="C9" i="2"/>
  <c r="C9" i="1"/>
  <c r="D9" i="1"/>
  <c r="E9" i="1"/>
  <c r="F9" i="1"/>
  <c r="G9" i="1"/>
  <c r="H9" i="1"/>
  <c r="I9" i="1"/>
  <c r="J9" i="1"/>
  <c r="K9" i="1"/>
  <c r="L9" i="1"/>
  <c r="M9" i="1"/>
  <c r="B9" i="1"/>
</calcChain>
</file>

<file path=xl/sharedStrings.xml><?xml version="1.0" encoding="utf-8"?>
<sst xmlns="http://schemas.openxmlformats.org/spreadsheetml/2006/main" count="69" uniqueCount="40">
  <si>
    <t>Wert/Gerät</t>
  </si>
  <si>
    <t>1.1</t>
  </si>
  <si>
    <t>1.2</t>
  </si>
  <si>
    <t>2.1</t>
  </si>
  <si>
    <t>3.1</t>
  </si>
  <si>
    <t>4.1</t>
  </si>
  <si>
    <t>4.2</t>
  </si>
  <si>
    <t>5.1</t>
  </si>
  <si>
    <t>5.2</t>
  </si>
  <si>
    <t>6.1</t>
  </si>
  <si>
    <t>6.2</t>
  </si>
  <si>
    <t>7.1</t>
  </si>
  <si>
    <t>8.1</t>
  </si>
  <si>
    <t>NanoVue</t>
  </si>
  <si>
    <t>280/260</t>
  </si>
  <si>
    <t>230/260</t>
  </si>
  <si>
    <t>Qubit</t>
  </si>
  <si>
    <t>7.2</t>
  </si>
  <si>
    <t>12.1</t>
  </si>
  <si>
    <t>12.2</t>
  </si>
  <si>
    <t>2</t>
  </si>
  <si>
    <t>3</t>
  </si>
  <si>
    <t>5</t>
  </si>
  <si>
    <t>6</t>
  </si>
  <si>
    <t>7</t>
  </si>
  <si>
    <t>8</t>
  </si>
  <si>
    <t>9</t>
  </si>
  <si>
    <t>11</t>
  </si>
  <si>
    <t>12</t>
  </si>
  <si>
    <t>10</t>
  </si>
  <si>
    <t>4</t>
  </si>
  <si>
    <t xml:space="preserve"> </t>
  </si>
  <si>
    <t>without 1.1</t>
  </si>
  <si>
    <t>Conz 3</t>
  </si>
  <si>
    <t>Conz 1</t>
  </si>
  <si>
    <t>Conz 2</t>
  </si>
  <si>
    <t>Mean Conc</t>
  </si>
  <si>
    <t>Mean</t>
  </si>
  <si>
    <t>with 5.1 und 5.2</t>
  </si>
  <si>
    <t>without 5.1 und 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</si>
</sst>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49" fontId="1" fillId="0" borderId="0" xfId="0" applyNumberFormat="1" applyFont="1"/>
    <xf numFmtId="0" fontId="2" fillId="0" borderId="0" xfId="0" applyFont="1"/>
    <xf numFmtId="49" fontId="3" fillId="0" borderId="0" xfId="0" applyNumberFormat="1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opLeftCell="E1" workbookViewId="0">
      <selection activeCell="P14" sqref="P14"/>
    </sheetView>
  </sheetViews>
  <sheetFormatPr baseColWidth="10" defaultColWidth="9.140625" defaultRowHeight="15" x14ac:dyDescent="0.25"/>
  <cols>
    <col min="1" max="1" width="26.7109375" customWidth="1"/>
    <col min="2" max="2" width="10.5703125" bestFit="1" customWidth="1"/>
    <col min="3" max="7" width="9.5703125" bestFit="1" customWidth="1"/>
    <col min="8" max="8" width="9.42578125" bestFit="1" customWidth="1"/>
    <col min="9" max="9" width="9.5703125" bestFit="1" customWidth="1"/>
    <col min="10" max="11" width="9.42578125" bestFit="1" customWidth="1"/>
    <col min="12" max="12" width="9.5703125" bestFit="1" customWidth="1"/>
    <col min="13" max="13" width="9.42578125" bestFit="1" customWidth="1"/>
    <col min="16" max="16" width="11.28515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5" t="s">
        <v>37</v>
      </c>
      <c r="R1" s="4"/>
    </row>
    <row r="2" spans="1:18" x14ac:dyDescent="0.25">
      <c r="A2" s="1" t="s">
        <v>13</v>
      </c>
      <c r="P2" t="s">
        <v>32</v>
      </c>
    </row>
    <row r="3" spans="1:18" x14ac:dyDescent="0.25">
      <c r="A3" t="s">
        <v>14</v>
      </c>
      <c r="B3" s="2">
        <v>300</v>
      </c>
      <c r="C3" s="2">
        <v>0.435</v>
      </c>
      <c r="D3" s="2">
        <v>0.51300000000000001</v>
      </c>
      <c r="E3" s="2">
        <v>1.175</v>
      </c>
      <c r="F3" s="2">
        <v>0.65600000000000003</v>
      </c>
      <c r="G3" s="2">
        <v>0.57699999999999996</v>
      </c>
      <c r="H3" s="2">
        <v>1.8360000000000001</v>
      </c>
      <c r="I3" s="2">
        <v>0.52400000000000002</v>
      </c>
      <c r="J3" s="2">
        <v>0.374</v>
      </c>
      <c r="K3" s="2">
        <v>0.45200000000000001</v>
      </c>
      <c r="L3" s="2">
        <v>0.41499999999999998</v>
      </c>
      <c r="M3" s="2">
        <v>0.69099999999999995</v>
      </c>
      <c r="O3" s="2">
        <f>SUM(B3:M3)/12</f>
        <v>25.637333333333334</v>
      </c>
      <c r="P3" s="2">
        <f>SUM(C3:M3)/11</f>
        <v>0.69527272727272726</v>
      </c>
    </row>
    <row r="4" spans="1:18" x14ac:dyDescent="0.25">
      <c r="A4" t="s">
        <v>15</v>
      </c>
      <c r="B4" s="2">
        <v>0.67400000000000004</v>
      </c>
      <c r="C4" s="2">
        <v>0.29699999999999999</v>
      </c>
      <c r="D4" s="2">
        <v>0.33100000000000002</v>
      </c>
      <c r="E4" s="2">
        <v>0.44800000000000001</v>
      </c>
      <c r="F4" s="2">
        <v>0.36899999999999999</v>
      </c>
      <c r="G4" s="2">
        <v>0.35099999999999998</v>
      </c>
      <c r="H4" s="2">
        <v>7.0999999999999994E-2</v>
      </c>
      <c r="I4" s="2">
        <v>0.38200000000000001</v>
      </c>
      <c r="J4" s="2">
        <v>0.27500000000000002</v>
      </c>
      <c r="K4" s="2">
        <v>0.314</v>
      </c>
      <c r="L4" s="2">
        <v>0.30299999999999999</v>
      </c>
      <c r="M4" s="2">
        <v>0.67900000000000005</v>
      </c>
      <c r="O4" s="2">
        <f t="shared" ref="O4:O9" si="0">SUM(B4:M4)/12</f>
        <v>0.3745</v>
      </c>
      <c r="P4" s="2">
        <f>SUM(C4:M4)/11</f>
        <v>0.34727272727272729</v>
      </c>
    </row>
    <row r="5" spans="1:18" x14ac:dyDescent="0.25">
      <c r="A5" s="1" t="s">
        <v>16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O5" s="2"/>
      <c r="P5" s="2"/>
    </row>
    <row r="6" spans="1:18" x14ac:dyDescent="0.25">
      <c r="A6" t="s">
        <v>34</v>
      </c>
      <c r="B6" s="2">
        <v>6.94</v>
      </c>
      <c r="C6" s="2">
        <v>12.3</v>
      </c>
      <c r="D6" s="2">
        <v>44</v>
      </c>
      <c r="E6" s="2">
        <v>42.2</v>
      </c>
      <c r="F6" s="2">
        <v>23.2</v>
      </c>
      <c r="G6" s="2">
        <v>18.600000000000001</v>
      </c>
      <c r="H6" s="2">
        <v>0.56000000000000005</v>
      </c>
      <c r="I6" s="2">
        <v>19.399999999999999</v>
      </c>
      <c r="J6" s="2">
        <v>7.64</v>
      </c>
      <c r="K6" s="2">
        <v>6.7</v>
      </c>
      <c r="L6" s="2">
        <v>16.8</v>
      </c>
      <c r="M6" s="2">
        <v>6.44</v>
      </c>
      <c r="O6" s="2"/>
      <c r="P6" s="2"/>
    </row>
    <row r="7" spans="1:18" x14ac:dyDescent="0.25">
      <c r="A7" t="s">
        <v>35</v>
      </c>
      <c r="B7" s="2">
        <v>6.88</v>
      </c>
      <c r="C7" s="2">
        <v>12.3</v>
      </c>
      <c r="D7" s="2">
        <v>42.6</v>
      </c>
      <c r="E7" s="2">
        <v>41.2</v>
      </c>
      <c r="F7" s="2">
        <v>22.8</v>
      </c>
      <c r="G7" s="2">
        <v>18.3</v>
      </c>
      <c r="H7" s="2">
        <v>0.55600000000000005</v>
      </c>
      <c r="I7" s="2">
        <v>19.3</v>
      </c>
      <c r="J7" s="2">
        <v>7.64</v>
      </c>
      <c r="K7" s="2">
        <v>7.1</v>
      </c>
      <c r="L7" s="2">
        <v>16.8</v>
      </c>
      <c r="M7" s="2">
        <v>6.3</v>
      </c>
      <c r="O7" s="2"/>
      <c r="P7" s="2"/>
    </row>
    <row r="8" spans="1:18" x14ac:dyDescent="0.25">
      <c r="A8" t="s">
        <v>33</v>
      </c>
      <c r="B8" s="2">
        <v>6.78</v>
      </c>
      <c r="C8" s="2">
        <v>11.9</v>
      </c>
      <c r="D8" s="2">
        <v>42.2</v>
      </c>
      <c r="E8" s="2">
        <v>40.6</v>
      </c>
      <c r="F8" s="2">
        <v>22.4</v>
      </c>
      <c r="G8" s="2">
        <v>19.100000000000001</v>
      </c>
      <c r="H8" s="2">
        <v>0.55600000000000005</v>
      </c>
      <c r="I8" s="2">
        <v>19.3</v>
      </c>
      <c r="J8" s="2">
        <v>7.74</v>
      </c>
      <c r="K8" s="2">
        <v>7.44</v>
      </c>
      <c r="L8" s="2">
        <v>16.7</v>
      </c>
      <c r="M8" s="2">
        <v>6.42</v>
      </c>
      <c r="O8" s="2"/>
      <c r="P8" s="2"/>
    </row>
    <row r="9" spans="1:18" x14ac:dyDescent="0.25">
      <c r="A9" t="s">
        <v>36</v>
      </c>
      <c r="B9" s="2">
        <f>(B6+B7+B8)/3</f>
        <v>6.8666666666666671</v>
      </c>
      <c r="C9" s="2">
        <f t="shared" ref="C9:M9" si="1">(C6+C7+C8)/3</f>
        <v>12.166666666666666</v>
      </c>
      <c r="D9" s="2">
        <f t="shared" si="1"/>
        <v>42.933333333333337</v>
      </c>
      <c r="E9" s="2">
        <f t="shared" si="1"/>
        <v>41.333333333333336</v>
      </c>
      <c r="F9" s="2">
        <f t="shared" si="1"/>
        <v>22.8</v>
      </c>
      <c r="G9" s="2">
        <f t="shared" si="1"/>
        <v>18.666666666666668</v>
      </c>
      <c r="H9" s="2">
        <f t="shared" si="1"/>
        <v>0.55733333333333335</v>
      </c>
      <c r="I9" s="2">
        <f t="shared" si="1"/>
        <v>19.333333333333332</v>
      </c>
      <c r="J9" s="2">
        <f t="shared" si="1"/>
        <v>7.6733333333333329</v>
      </c>
      <c r="K9" s="2">
        <f t="shared" si="1"/>
        <v>7.080000000000001</v>
      </c>
      <c r="L9" s="2">
        <f t="shared" si="1"/>
        <v>16.766666666666666</v>
      </c>
      <c r="M9" s="2">
        <f t="shared" si="1"/>
        <v>6.3866666666666667</v>
      </c>
      <c r="O9" s="2">
        <f t="shared" si="0"/>
        <v>16.880333333333336</v>
      </c>
      <c r="P9" s="2">
        <f>SUM(C9:M9)/11</f>
        <v>17.790666666666667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7869-CAF5-4D3F-BF3B-F4CA04E5F5F3}">
  <dimension ref="A1:R9"/>
  <sheetViews>
    <sheetView tabSelected="1" topLeftCell="F1" workbookViewId="0">
      <selection activeCell="I19" sqref="I19"/>
    </sheetView>
  </sheetViews>
  <sheetFormatPr baseColWidth="10" defaultColWidth="9.140625" defaultRowHeight="15" x14ac:dyDescent="0.25"/>
  <cols>
    <col min="1" max="1" width="26.7109375" customWidth="1"/>
    <col min="2" max="2" width="10.5703125" bestFit="1" customWidth="1"/>
    <col min="3" max="7" width="9.5703125" bestFit="1" customWidth="1"/>
    <col min="8" max="8" width="9.42578125" bestFit="1" customWidth="1"/>
    <col min="9" max="9" width="9.5703125" bestFit="1" customWidth="1"/>
    <col min="10" max="11" width="9.42578125" bestFit="1" customWidth="1"/>
    <col min="12" max="12" width="9.5703125" bestFit="1" customWidth="1"/>
    <col min="13" max="13" width="9.42578125" bestFit="1" customWidth="1"/>
    <col min="15" max="15" width="9.85546875" customWidth="1"/>
    <col min="16" max="16" width="18.140625" customWidth="1"/>
  </cols>
  <sheetData>
    <row r="1" spans="1:18" x14ac:dyDescent="0.25">
      <c r="A1" s="1" t="s">
        <v>0</v>
      </c>
      <c r="B1" s="1" t="s">
        <v>1</v>
      </c>
      <c r="C1" s="3" t="s">
        <v>3</v>
      </c>
      <c r="D1" s="3" t="s">
        <v>4</v>
      </c>
      <c r="E1" s="3" t="s">
        <v>5</v>
      </c>
      <c r="F1" s="3" t="s">
        <v>7</v>
      </c>
      <c r="G1" s="3" t="s">
        <v>8</v>
      </c>
      <c r="H1" s="3" t="s">
        <v>9</v>
      </c>
      <c r="I1" s="3" t="s">
        <v>11</v>
      </c>
      <c r="J1" s="3" t="s">
        <v>17</v>
      </c>
      <c r="K1" s="3" t="s">
        <v>12</v>
      </c>
      <c r="L1" s="3" t="s">
        <v>18</v>
      </c>
      <c r="M1" s="3" t="s">
        <v>19</v>
      </c>
      <c r="O1" s="5" t="s">
        <v>37</v>
      </c>
      <c r="R1" s="4"/>
    </row>
    <row r="2" spans="1:18" x14ac:dyDescent="0.25">
      <c r="A2" s="1" t="s">
        <v>13</v>
      </c>
      <c r="P2" t="s">
        <v>39</v>
      </c>
    </row>
    <row r="3" spans="1:18" x14ac:dyDescent="0.25">
      <c r="A3" t="s">
        <v>14</v>
      </c>
      <c r="B3" s="2">
        <v>0.41199999999999998</v>
      </c>
      <c r="C3" s="2">
        <v>1.274</v>
      </c>
      <c r="D3" s="2">
        <v>0.59399999999999997</v>
      </c>
      <c r="E3" s="2">
        <v>0.89200000000000002</v>
      </c>
      <c r="F3" s="2">
        <v>1.875</v>
      </c>
      <c r="G3" s="2">
        <v>1.7629999999999999</v>
      </c>
      <c r="H3" s="2">
        <v>0.91400000000000003</v>
      </c>
      <c r="I3" s="2">
        <v>1.5</v>
      </c>
      <c r="J3" s="2">
        <v>1.4730000000000001</v>
      </c>
      <c r="K3" s="2">
        <v>0.57699999999999996</v>
      </c>
      <c r="L3" s="2">
        <v>0.56899999999999995</v>
      </c>
      <c r="M3" s="2">
        <v>1.4139999999999999</v>
      </c>
      <c r="O3" s="2">
        <f>SUM(B3:M3)/12</f>
        <v>1.1047499999999999</v>
      </c>
      <c r="P3" s="2">
        <f>(B3+C3+D3+E3+H3+I3+J3+K3+L3+M3)/10</f>
        <v>0.96189999999999976</v>
      </c>
    </row>
    <row r="4" spans="1:18" x14ac:dyDescent="0.25">
      <c r="A4" t="s">
        <v>15</v>
      </c>
      <c r="B4" s="2">
        <v>0.26</v>
      </c>
      <c r="C4" s="2">
        <v>0.69899999999999995</v>
      </c>
      <c r="D4" s="2">
        <v>0.38400000000000001</v>
      </c>
      <c r="E4" s="2">
        <v>0.17399999999999999</v>
      </c>
      <c r="F4" s="2">
        <v>1.5</v>
      </c>
      <c r="G4" s="2">
        <v>1.3</v>
      </c>
      <c r="H4" s="2">
        <v>0.18</v>
      </c>
      <c r="I4" s="2">
        <v>0.26500000000000001</v>
      </c>
      <c r="J4" s="2">
        <v>1.2390000000000001</v>
      </c>
      <c r="K4" s="2">
        <v>0.22700000000000001</v>
      </c>
      <c r="L4" s="2">
        <v>0.56899999999999995</v>
      </c>
      <c r="M4" s="2">
        <v>0.17199999999999999</v>
      </c>
      <c r="O4" s="2">
        <f t="shared" ref="O4:O9" si="0">SUM(B4:M4)/12</f>
        <v>0.58074999999999999</v>
      </c>
      <c r="P4" s="2">
        <f t="shared" ref="P4:P9" si="1">(B4+C4+D4+E4+H4+I4+J4+K4+L4+M4)/10</f>
        <v>0.41689999999999994</v>
      </c>
    </row>
    <row r="5" spans="1:18" x14ac:dyDescent="0.25">
      <c r="A5" s="1" t="s">
        <v>16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O5" s="2"/>
      <c r="P5" s="2"/>
    </row>
    <row r="6" spans="1:18" x14ac:dyDescent="0.25">
      <c r="A6" t="s">
        <v>34</v>
      </c>
      <c r="B6" s="2">
        <v>44</v>
      </c>
      <c r="C6" s="2">
        <v>39.799999999999997</v>
      </c>
      <c r="D6" s="2">
        <v>39.4</v>
      </c>
      <c r="E6" s="2">
        <v>40.299999999999997</v>
      </c>
      <c r="F6" s="2">
        <v>58.2</v>
      </c>
      <c r="G6" s="2">
        <v>34.4</v>
      </c>
      <c r="H6" s="2">
        <v>47</v>
      </c>
      <c r="I6" s="2">
        <v>22</v>
      </c>
      <c r="J6" s="2">
        <v>25.4</v>
      </c>
      <c r="K6" s="2">
        <v>36.6</v>
      </c>
      <c r="L6" s="2">
        <v>51.2</v>
      </c>
      <c r="M6" s="2">
        <v>43.8</v>
      </c>
      <c r="O6" s="2"/>
      <c r="P6" s="2"/>
    </row>
    <row r="7" spans="1:18" x14ac:dyDescent="0.25">
      <c r="A7" t="s">
        <v>35</v>
      </c>
      <c r="B7" s="2">
        <v>44.8</v>
      </c>
      <c r="C7" s="2">
        <v>40</v>
      </c>
      <c r="D7" s="2">
        <v>39.200000000000003</v>
      </c>
      <c r="E7" s="2">
        <v>39.799999999999997</v>
      </c>
      <c r="F7" s="2">
        <v>59</v>
      </c>
      <c r="G7" s="2">
        <v>33.6</v>
      </c>
      <c r="H7" s="2">
        <v>46</v>
      </c>
      <c r="I7" s="2">
        <v>21.2</v>
      </c>
      <c r="J7" s="2">
        <v>25.6</v>
      </c>
      <c r="K7" s="2">
        <v>37.4</v>
      </c>
      <c r="L7" s="2">
        <v>50.2</v>
      </c>
      <c r="M7" s="2">
        <v>42</v>
      </c>
      <c r="O7" s="2"/>
      <c r="P7" s="2"/>
    </row>
    <row r="8" spans="1:18" x14ac:dyDescent="0.25">
      <c r="A8" t="s">
        <v>33</v>
      </c>
      <c r="B8" s="2">
        <v>44.8</v>
      </c>
      <c r="C8" s="2">
        <v>39.6</v>
      </c>
      <c r="D8" s="2">
        <v>39.4</v>
      </c>
      <c r="E8" s="2">
        <v>39.6</v>
      </c>
      <c r="F8" s="2">
        <v>58.2</v>
      </c>
      <c r="G8" s="2">
        <v>33.6</v>
      </c>
      <c r="H8" s="2">
        <v>47.8</v>
      </c>
      <c r="I8" s="2">
        <v>21.2</v>
      </c>
      <c r="J8" s="2">
        <v>25.6</v>
      </c>
      <c r="K8" s="2">
        <v>37.200000000000003</v>
      </c>
      <c r="L8" s="2">
        <v>50.2</v>
      </c>
      <c r="M8" s="2">
        <v>42.2</v>
      </c>
      <c r="O8" s="2"/>
      <c r="P8" s="2"/>
    </row>
    <row r="9" spans="1:18" x14ac:dyDescent="0.25">
      <c r="A9" t="s">
        <v>36</v>
      </c>
      <c r="B9" s="2">
        <f>(B6+B7+B8)/3</f>
        <v>44.533333333333331</v>
      </c>
      <c r="C9" s="2">
        <f t="shared" ref="C9:M9" si="2">(C6+C7+C8)/3</f>
        <v>39.800000000000004</v>
      </c>
      <c r="D9" s="2">
        <f t="shared" si="2"/>
        <v>39.333333333333336</v>
      </c>
      <c r="E9" s="2">
        <f t="shared" si="2"/>
        <v>39.9</v>
      </c>
      <c r="F9" s="2">
        <f t="shared" si="2"/>
        <v>58.466666666666669</v>
      </c>
      <c r="G9" s="2">
        <f t="shared" si="2"/>
        <v>33.866666666666667</v>
      </c>
      <c r="H9" s="2">
        <f t="shared" si="2"/>
        <v>46.933333333333337</v>
      </c>
      <c r="I9" s="2">
        <f t="shared" si="2"/>
        <v>21.466666666666669</v>
      </c>
      <c r="J9" s="2">
        <f t="shared" si="2"/>
        <v>25.533333333333331</v>
      </c>
      <c r="K9" s="2">
        <f t="shared" si="2"/>
        <v>37.06666666666667</v>
      </c>
      <c r="L9" s="2">
        <f t="shared" si="2"/>
        <v>50.533333333333339</v>
      </c>
      <c r="M9" s="2">
        <f t="shared" si="2"/>
        <v>42.666666666666664</v>
      </c>
      <c r="O9" s="2">
        <f t="shared" si="0"/>
        <v>40.00833333333334</v>
      </c>
      <c r="P9" s="2">
        <f t="shared" si="1"/>
        <v>38.776666666666671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E595-D25A-471B-8693-0823F4A0DA3C}">
  <dimension ref="A1:Q9"/>
  <sheetViews>
    <sheetView topLeftCell="E1" workbookViewId="0">
      <selection activeCell="K22" sqref="K22"/>
    </sheetView>
  </sheetViews>
  <sheetFormatPr baseColWidth="10" defaultColWidth="9.140625" defaultRowHeight="15" x14ac:dyDescent="0.25"/>
  <cols>
    <col min="1" max="1" width="26.7109375" customWidth="1"/>
    <col min="2" max="2" width="10.5703125" bestFit="1" customWidth="1"/>
    <col min="3" max="7" width="9.5703125" bestFit="1" customWidth="1"/>
    <col min="8" max="8" width="9.42578125" bestFit="1" customWidth="1"/>
    <col min="9" max="9" width="9.5703125" bestFit="1" customWidth="1"/>
    <col min="10" max="11" width="9.42578125" bestFit="1" customWidth="1"/>
    <col min="12" max="12" width="9.5703125" bestFit="1" customWidth="1"/>
    <col min="13" max="13" width="9.42578125" bestFit="1" customWidth="1"/>
    <col min="15" max="15" width="9.5703125" customWidth="1"/>
    <col min="16" max="16" width="15" customWidth="1"/>
  </cols>
  <sheetData>
    <row r="1" spans="1:17" x14ac:dyDescent="0.25">
      <c r="A1" s="1" t="s">
        <v>0</v>
      </c>
      <c r="B1" s="3">
        <v>1</v>
      </c>
      <c r="C1" s="3" t="s">
        <v>20</v>
      </c>
      <c r="D1" s="3" t="s">
        <v>21</v>
      </c>
      <c r="E1" s="3" t="s">
        <v>30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29</v>
      </c>
      <c r="L1" s="3" t="s">
        <v>27</v>
      </c>
      <c r="M1" s="3" t="s">
        <v>28</v>
      </c>
      <c r="O1" s="5" t="s">
        <v>37</v>
      </c>
    </row>
    <row r="2" spans="1:17" x14ac:dyDescent="0.25">
      <c r="A2" s="1" t="s">
        <v>13</v>
      </c>
      <c r="P2" t="s">
        <v>38</v>
      </c>
    </row>
    <row r="3" spans="1:17" x14ac:dyDescent="0.25">
      <c r="A3" t="s">
        <v>14</v>
      </c>
      <c r="B3" s="2">
        <v>1.792</v>
      </c>
      <c r="C3" s="2">
        <v>1.7290000000000001</v>
      </c>
      <c r="D3" s="2">
        <v>1.7110000000000001</v>
      </c>
      <c r="E3" s="2">
        <v>1.8460000000000001</v>
      </c>
      <c r="F3" s="2">
        <v>1.7290000000000001</v>
      </c>
      <c r="G3" s="2">
        <v>1.63</v>
      </c>
      <c r="H3" s="2">
        <v>1.667</v>
      </c>
      <c r="I3" s="2">
        <v>1.718</v>
      </c>
      <c r="J3" s="2">
        <v>1.5129999999999999</v>
      </c>
      <c r="K3" s="2">
        <v>1.9119999999999999</v>
      </c>
      <c r="L3" s="2">
        <v>1.8</v>
      </c>
      <c r="M3" s="2">
        <v>1.8140000000000001</v>
      </c>
      <c r="O3" s="2">
        <f>SUM(B3:M3)/12</f>
        <v>1.7384166666666667</v>
      </c>
      <c r="P3" s="2">
        <f>(SUM(B3:M3)+Monarch!F3+'Monarch 800  microliter'!G3)/14</f>
        <v>1.7404285714285714</v>
      </c>
    </row>
    <row r="4" spans="1:17" x14ac:dyDescent="0.25">
      <c r="A4" t="s">
        <v>15</v>
      </c>
      <c r="B4" s="2">
        <v>0.70499999999999996</v>
      </c>
      <c r="C4" s="2">
        <v>1.2350000000000001</v>
      </c>
      <c r="D4" s="2">
        <v>0.22600000000000001</v>
      </c>
      <c r="E4" s="2">
        <v>1.3520000000000001</v>
      </c>
      <c r="F4" s="2">
        <v>0.32400000000000001</v>
      </c>
      <c r="G4" s="2">
        <v>0.59499999999999997</v>
      </c>
      <c r="H4" s="2">
        <v>0.441</v>
      </c>
      <c r="I4" s="2">
        <v>0.17100000000000001</v>
      </c>
      <c r="J4" s="2">
        <v>0.17299999999999999</v>
      </c>
      <c r="K4" s="2">
        <v>0.44700000000000001</v>
      </c>
      <c r="L4" s="2">
        <v>0.56999999999999995</v>
      </c>
      <c r="M4" s="2">
        <v>0.28100000000000003</v>
      </c>
      <c r="O4" s="2">
        <f t="shared" ref="O4" si="0">SUM(B4:M4)/12</f>
        <v>0.54333333333333333</v>
      </c>
      <c r="P4" s="2">
        <f>(SUM(B4:M4)+Monarch!F4+'Monarch 800  microliter'!G4)/14</f>
        <v>0.61535714285714282</v>
      </c>
    </row>
    <row r="5" spans="1:17" x14ac:dyDescent="0.25">
      <c r="A5" s="1" t="s">
        <v>16</v>
      </c>
      <c r="B5" s="2"/>
      <c r="D5" s="2"/>
      <c r="E5" s="2"/>
      <c r="F5" s="2"/>
      <c r="G5" s="2"/>
      <c r="H5" s="2"/>
      <c r="I5" s="2"/>
      <c r="J5" s="2"/>
      <c r="K5" s="2"/>
      <c r="L5" s="2"/>
      <c r="M5" s="2"/>
      <c r="O5" s="2"/>
      <c r="P5" s="2"/>
      <c r="Q5" t="s">
        <v>31</v>
      </c>
    </row>
    <row r="6" spans="1:17" x14ac:dyDescent="0.25">
      <c r="A6" t="s">
        <v>34</v>
      </c>
      <c r="B6" s="2">
        <v>29.2</v>
      </c>
      <c r="C6" s="2">
        <v>46.2</v>
      </c>
      <c r="D6" s="2">
        <v>25</v>
      </c>
      <c r="E6" s="2">
        <v>30.8</v>
      </c>
      <c r="F6" s="2">
        <v>39.200000000000003</v>
      </c>
      <c r="G6" s="2">
        <v>32</v>
      </c>
      <c r="H6" s="2">
        <v>19.2</v>
      </c>
      <c r="I6" s="2">
        <v>34.799999999999997</v>
      </c>
      <c r="J6" s="2">
        <v>26.6</v>
      </c>
      <c r="K6" s="2">
        <v>12.8</v>
      </c>
      <c r="L6" s="2">
        <v>35.799999999999997</v>
      </c>
      <c r="M6" s="2">
        <v>24.4</v>
      </c>
      <c r="O6" s="2"/>
      <c r="P6" s="2"/>
    </row>
    <row r="7" spans="1:17" x14ac:dyDescent="0.25">
      <c r="A7" t="s">
        <v>35</v>
      </c>
      <c r="B7" s="2">
        <v>29</v>
      </c>
      <c r="C7" s="2">
        <v>45.8</v>
      </c>
      <c r="D7" s="2">
        <v>24.8</v>
      </c>
      <c r="E7" s="2">
        <v>30.8</v>
      </c>
      <c r="F7" s="2">
        <v>39</v>
      </c>
      <c r="G7" s="2">
        <v>32</v>
      </c>
      <c r="H7" s="2">
        <v>19</v>
      </c>
      <c r="I7" s="2">
        <v>34</v>
      </c>
      <c r="J7" s="2">
        <v>26.4</v>
      </c>
      <c r="K7" s="2">
        <v>12.6</v>
      </c>
      <c r="L7" s="2">
        <v>35.4</v>
      </c>
      <c r="M7" s="2">
        <v>24.2</v>
      </c>
      <c r="O7" s="2"/>
      <c r="P7" s="2"/>
    </row>
    <row r="8" spans="1:17" x14ac:dyDescent="0.25">
      <c r="A8" t="s">
        <v>33</v>
      </c>
      <c r="B8" s="2">
        <v>28.8</v>
      </c>
      <c r="C8" s="2">
        <v>46</v>
      </c>
      <c r="D8" s="2">
        <v>24.6</v>
      </c>
      <c r="E8" s="2">
        <v>30.6</v>
      </c>
      <c r="F8" s="2">
        <v>38.799999999999997</v>
      </c>
      <c r="G8" s="2">
        <v>32</v>
      </c>
      <c r="H8" s="2">
        <v>18.8</v>
      </c>
      <c r="I8" s="2">
        <v>33.799999999999997</v>
      </c>
      <c r="J8" s="2">
        <v>26.6</v>
      </c>
      <c r="K8" s="2">
        <v>12.4</v>
      </c>
      <c r="L8" s="2">
        <v>35.4</v>
      </c>
      <c r="M8" s="2">
        <v>24</v>
      </c>
      <c r="O8" s="2"/>
      <c r="P8" s="2"/>
    </row>
    <row r="9" spans="1:17" x14ac:dyDescent="0.25">
      <c r="A9" t="s">
        <v>36</v>
      </c>
      <c r="B9" s="2">
        <f>(B6+B7+B8)/3</f>
        <v>29</v>
      </c>
      <c r="C9" s="2">
        <f>(C6+C7+C8)/3</f>
        <v>46</v>
      </c>
      <c r="D9" s="2">
        <f t="shared" ref="D9:M9" si="1">(D6+D7+D8)/3</f>
        <v>24.8</v>
      </c>
      <c r="E9" s="2">
        <f t="shared" si="1"/>
        <v>30.733333333333334</v>
      </c>
      <c r="F9" s="2">
        <f t="shared" si="1"/>
        <v>39</v>
      </c>
      <c r="G9" s="2">
        <f t="shared" si="1"/>
        <v>32</v>
      </c>
      <c r="H9" s="2">
        <f t="shared" si="1"/>
        <v>19</v>
      </c>
      <c r="I9" s="2">
        <f t="shared" si="1"/>
        <v>34.199999999999996</v>
      </c>
      <c r="J9" s="2">
        <f t="shared" si="1"/>
        <v>26.533333333333331</v>
      </c>
      <c r="K9" s="2">
        <f t="shared" si="1"/>
        <v>12.6</v>
      </c>
      <c r="L9" s="2">
        <f t="shared" si="1"/>
        <v>35.533333333333331</v>
      </c>
      <c r="M9" s="2">
        <f t="shared" si="1"/>
        <v>24.2</v>
      </c>
      <c r="O9" s="2">
        <f>SUM(B9:M9)/12</f>
        <v>29.466666666666665</v>
      </c>
      <c r="P9" s="2">
        <f>(SUM(B9:M9)+Monarch!F9+'Monarch 800  microliter'!G9)/14</f>
        <v>31.719047619047615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Vanessa</vt:lpstr>
      <vt:lpstr>Monarch</vt:lpstr>
      <vt:lpstr>Monarch 800  microliter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Julian Spies</cp:lastModifiedBy>
  <cp:lastPrinted>2026-08-01T16:23:18Z</cp:lastPrinted>
  <dcterms:created xsi:type="dcterms:W3CDTF">2026-07-26T18:13:18Z</dcterms:created>
  <dcterms:modified xsi:type="dcterms:W3CDTF">2026-08-02T06:57:08Z</dcterms:modified>
</cp:coreProperties>
</file>